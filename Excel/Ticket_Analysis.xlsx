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09\Desktop\DA\projects\Platinum Asssigment\Excel\"/>
    </mc:Choice>
  </mc:AlternateContent>
  <xr:revisionPtr revIDLastSave="0" documentId="13_ncr:1_{81A5B773-2ED5-4743-8C0F-98AE5D63471A}" xr6:coauthVersionLast="47" xr6:coauthVersionMax="47" xr10:uidLastSave="{00000000-0000-0000-0000-000000000000}"/>
  <bookViews>
    <workbookView xWindow="-108" yWindow="-108" windowWidth="23256" windowHeight="13176" activeTab="2" xr2:uid="{FC52C16A-BF0F-45C3-B974-56EB5E6FB3C8}"/>
  </bookViews>
  <sheets>
    <sheet name="ticket" sheetId="1" r:id="rId1"/>
    <sheet name="feedbacks" sheetId="2" r:id="rId2"/>
    <sheet name="PivotTable for count per outlet" sheetId="3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2" i="1"/>
  <c r="F3" i="1"/>
  <c r="F4" i="1"/>
  <c r="F5" i="1"/>
  <c r="F6" i="1"/>
  <c r="F2" i="1"/>
  <c r="D3" i="2"/>
  <c r="D4" i="2"/>
  <c r="D2" i="2"/>
</calcChain>
</file>

<file path=xl/sharedStrings.xml><?xml version="1.0" encoding="utf-8"?>
<sst xmlns="http://schemas.openxmlformats.org/spreadsheetml/2006/main" count="39" uniqueCount="28">
  <si>
    <t>ticket_id</t>
  </si>
  <si>
    <t>created_at</t>
  </si>
  <si>
    <t>closed_at</t>
  </si>
  <si>
    <t>outlet_id</t>
  </si>
  <si>
    <t>cms_id</t>
  </si>
  <si>
    <t>T1</t>
  </si>
  <si>
    <t>O1</t>
  </si>
  <si>
    <t>C101</t>
  </si>
  <si>
    <t>T2</t>
  </si>
  <si>
    <t>C102</t>
  </si>
  <si>
    <t>T3</t>
  </si>
  <si>
    <t>O2</t>
  </si>
  <si>
    <t>C103</t>
  </si>
  <si>
    <t>T4</t>
  </si>
  <si>
    <t>C104</t>
  </si>
  <si>
    <t>T5</t>
  </si>
  <si>
    <t>O3</t>
  </si>
  <si>
    <t>C105</t>
  </si>
  <si>
    <t>feedback_at</t>
  </si>
  <si>
    <t>rating</t>
  </si>
  <si>
    <t>ticket_created_at</t>
  </si>
  <si>
    <t>Same_Day</t>
  </si>
  <si>
    <t>Same_hour</t>
  </si>
  <si>
    <t>Row Labels</t>
  </si>
  <si>
    <t>Grand Total</t>
  </si>
  <si>
    <t>Count of Same_Day</t>
  </si>
  <si>
    <t>Count of Same_hour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</si>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</sst>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/>
    <xf numFmtId="22" fontId="0" fillId="0" borderId="0" xfId="0" applyNumberForma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urna sai Badminton" refreshedDate="46121.03627650463" createdVersion="8" refreshedVersion="8" minRefreshableVersion="3" recordCount="6" xr:uid="{479A05BD-623E-4F5C-870E-C0FD4AF655C9}">
  <cacheSource type="worksheet">
    <worksheetSource ref="A1:G1048576" sheet="ticket"/>
  </cacheSource>
  <cacheFields count="7">
    <cacheField name="ticket_id" numFmtId="0">
      <sharedItems containsBlank="1" count="6">
        <s v="T1"/>
        <s v="T2"/>
        <s v="T3"/>
        <s v="T4"/>
        <s v="T5"/>
        <m/>
      </sharedItems>
    </cacheField>
    <cacheField name="created_at" numFmtId="0">
      <sharedItems containsNonDate="0" containsDate="1" containsString="0" containsBlank="1" minDate="2021-08-19T16:45:43" maxDate="2021-08-29T11:20:00"/>
    </cacheField>
    <cacheField name="closed_at" numFmtId="0">
      <sharedItems containsNonDate="0" containsDate="1" containsString="0" containsBlank="1" minDate="2021-08-21T10:45:00" maxDate="2021-08-25T10:50:00"/>
    </cacheField>
    <cacheField name="outlet_id" numFmtId="0">
      <sharedItems containsBlank="1" count="4">
        <s v="O1"/>
        <s v="O2"/>
        <s v="O3"/>
        <m/>
      </sharedItems>
    </cacheField>
    <cacheField name="cms_id" numFmtId="0">
      <sharedItems containsBlank="1"/>
    </cacheField>
    <cacheField name="Same_Day" numFmtId="0">
      <sharedItems containsBlank="1" count="3">
        <s v="Yes"/>
        <s v="No"/>
        <m/>
      </sharedItems>
    </cacheField>
    <cacheField name="Same_hour" numFmtId="0">
      <sharedItems containsBlank="1" count="3">
        <s v="Yes"/>
        <s v="No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d v="2021-08-21T10:15:00"/>
    <d v="2021-08-21T10:45:00"/>
    <x v="0"/>
    <s v="C101"/>
    <x v="0"/>
    <x v="0"/>
  </r>
  <r>
    <x v="1"/>
    <d v="2021-08-29T11:20:00"/>
    <d v="2021-08-22T12:00:00"/>
    <x v="0"/>
    <s v="C102"/>
    <x v="1"/>
    <x v="1"/>
  </r>
  <r>
    <x v="2"/>
    <d v="2021-08-22T09:00:00"/>
    <d v="2021-08-22T09:30:00"/>
    <x v="1"/>
    <s v="C103"/>
    <x v="0"/>
    <x v="0"/>
  </r>
  <r>
    <x v="3"/>
    <d v="2021-08-22T14:10:00"/>
    <d v="2021-08-22T16:00:00"/>
    <x v="1"/>
    <s v="C104"/>
    <x v="0"/>
    <x v="1"/>
  </r>
  <r>
    <x v="4"/>
    <d v="2021-08-19T16:45:43"/>
    <d v="2021-08-25T10:50:00"/>
    <x v="2"/>
    <s v="C105"/>
    <x v="1"/>
    <x v="1"/>
  </r>
  <r>
    <x v="5"/>
    <m/>
    <m/>
    <x v="3"/>
    <m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17EDD4-B257-4253-9134-B94AC86A76E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7" firstHeaderRow="0" firstDataRow="1" firstDataCol="1" rowPageCount="2" colPageCount="1"/>
  <pivotFields count="7"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axis="axisPage" dataField="1" showAll="0" includeNewItemsInFilter="1" defaultSubtotal="0">
      <items count="3">
        <item x="1"/>
        <item x="0"/>
        <item x="2"/>
      </items>
    </pivotField>
    <pivotField axis="axisPage" dataField="1" showAll="0">
      <items count="4">
        <item x="1"/>
        <item x="0"/>
        <item x="2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2">
    <pageField fld="5" item="1" hier="-1"/>
    <pageField fld="6" item="1" hier="-1"/>
  </pageFields>
  <dataFields count="2">
    <dataField name="Count of Same_Day" fld="5" subtotal="count" baseField="0" baseItem="0"/>
    <dataField name="Count of Same_hour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79333-B790-4536-AEEA-989170F1C547}">
  <dimension ref="A1:G6"/>
  <sheetViews>
    <sheetView workbookViewId="0">
      <selection activeCell="F2" sqref="F2"/>
    </sheetView>
  </sheetViews>
  <sheetFormatPr defaultRowHeight="14.4" x14ac:dyDescent="0.3"/>
  <cols>
    <col min="1" max="1" width="12.21875" customWidth="1"/>
    <col min="2" max="2" width="18.77734375" customWidth="1"/>
    <col min="3" max="3" width="19.109375" customWidth="1"/>
    <col min="6" max="6" width="23.109375" customWidth="1"/>
    <col min="7" max="7" width="27" customWidth="1"/>
  </cols>
  <sheetData>
    <row r="1" spans="1:7" ht="21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21</v>
      </c>
      <c r="G1" s="1" t="s">
        <v>22</v>
      </c>
    </row>
    <row r="2" spans="1:7" x14ac:dyDescent="0.3">
      <c r="A2" s="2" t="s">
        <v>5</v>
      </c>
      <c r="B2" s="4">
        <v>44429.427083333336</v>
      </c>
      <c r="C2" s="4">
        <v>44429.447916666664</v>
      </c>
      <c r="D2" s="2" t="s">
        <v>6</v>
      </c>
      <c r="E2" s="2" t="s">
        <v>7</v>
      </c>
      <c r="F2" t="str">
        <f>IF(INT(B2)=INT(C2),"Yes","No")</f>
        <v>Yes</v>
      </c>
      <c r="G2" t="str">
        <f>IF(AND(INT(B2)=INT(C2), HOUR(B2)=HOUR(C2)), "Yes", "No")</f>
        <v>Yes</v>
      </c>
    </row>
    <row r="3" spans="1:7" x14ac:dyDescent="0.3">
      <c r="A3" s="2" t="s">
        <v>8</v>
      </c>
      <c r="B3" s="4">
        <v>44437.472222222219</v>
      </c>
      <c r="C3" s="4">
        <v>44430.5</v>
      </c>
      <c r="D3" s="2" t="s">
        <v>6</v>
      </c>
      <c r="E3" s="2" t="s">
        <v>9</v>
      </c>
      <c r="F3" t="str">
        <f t="shared" ref="F3:F6" si="0">IF(INT(B3)=INT(C3),"Yes","No")</f>
        <v>No</v>
      </c>
      <c r="G3" t="str">
        <f t="shared" ref="G3:G6" si="1">IF(AND(INT(B3)=INT(C3), HOUR(B3)=HOUR(C3)), "Yes", "No")</f>
        <v>No</v>
      </c>
    </row>
    <row r="4" spans="1:7" x14ac:dyDescent="0.3">
      <c r="A4" s="2" t="s">
        <v>10</v>
      </c>
      <c r="B4" s="4">
        <v>44430.375</v>
      </c>
      <c r="C4" s="4">
        <v>44430.395833333336</v>
      </c>
      <c r="D4" s="2" t="s">
        <v>11</v>
      </c>
      <c r="E4" s="2" t="s">
        <v>12</v>
      </c>
      <c r="F4" t="str">
        <f t="shared" si="0"/>
        <v>Yes</v>
      </c>
      <c r="G4" t="str">
        <f t="shared" si="1"/>
        <v>Yes</v>
      </c>
    </row>
    <row r="5" spans="1:7" x14ac:dyDescent="0.3">
      <c r="A5" s="2" t="s">
        <v>13</v>
      </c>
      <c r="B5" s="4">
        <v>44430.590277777781</v>
      </c>
      <c r="C5" s="4">
        <v>44430.666666666664</v>
      </c>
      <c r="D5" s="2" t="s">
        <v>11</v>
      </c>
      <c r="E5" s="2" t="s">
        <v>14</v>
      </c>
      <c r="F5" t="str">
        <f t="shared" si="0"/>
        <v>Yes</v>
      </c>
      <c r="G5" t="str">
        <f t="shared" si="1"/>
        <v>No</v>
      </c>
    </row>
    <row r="6" spans="1:7" x14ac:dyDescent="0.3">
      <c r="A6" s="2" t="s">
        <v>15</v>
      </c>
      <c r="B6" s="3">
        <v>44427.698414351849</v>
      </c>
      <c r="C6" s="3">
        <v>44433.451388888891</v>
      </c>
      <c r="D6" s="2" t="s">
        <v>16</v>
      </c>
      <c r="E6" s="2" t="s">
        <v>17</v>
      </c>
      <c r="F6" t="str">
        <f t="shared" si="0"/>
        <v>No</v>
      </c>
      <c r="G6" t="str">
        <f t="shared" si="1"/>
        <v>No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E6893-CC1E-49D0-A228-C3BC3604A8A5}">
  <dimension ref="A1:D4"/>
  <sheetViews>
    <sheetView workbookViewId="0">
      <selection activeCell="E16" sqref="E16"/>
    </sheetView>
  </sheetViews>
  <sheetFormatPr defaultRowHeight="14.4" x14ac:dyDescent="0.3"/>
  <cols>
    <col min="2" max="2" width="20.33203125" customWidth="1"/>
    <col min="4" max="4" width="20.77734375" customWidth="1"/>
  </cols>
  <sheetData>
    <row r="1" spans="1:4" ht="28.8" x14ac:dyDescent="0.3">
      <c r="A1" s="1" t="s">
        <v>4</v>
      </c>
      <c r="B1" s="1" t="s">
        <v>18</v>
      </c>
      <c r="C1" s="1" t="s">
        <v>19</v>
      </c>
      <c r="D1" s="1" t="s">
        <v>20</v>
      </c>
    </row>
    <row r="2" spans="1:4" x14ac:dyDescent="0.3">
      <c r="A2" s="2" t="s">
        <v>7</v>
      </c>
      <c r="B2" s="4">
        <v>44429.458333333336</v>
      </c>
      <c r="C2" s="2">
        <v>4</v>
      </c>
      <c r="D2" s="4">
        <f>INDEX(ticket!$B:$B, MATCH(A2, ticket!$E:$E, 0))</f>
        <v>44429.427083333336</v>
      </c>
    </row>
    <row r="3" spans="1:4" x14ac:dyDescent="0.3">
      <c r="A3" s="2" t="s">
        <v>9</v>
      </c>
      <c r="B3" s="4">
        <v>44430.541666666664</v>
      </c>
      <c r="C3" s="2">
        <v>3</v>
      </c>
      <c r="D3" s="4">
        <f>INDEX(ticket!$B:$B, MATCH(A3, ticket!$E:$E, 0))</f>
        <v>44437.472222222219</v>
      </c>
    </row>
    <row r="4" spans="1:4" x14ac:dyDescent="0.3">
      <c r="A4" s="2" t="s">
        <v>17</v>
      </c>
      <c r="B4" s="4">
        <v>44430.416666666664</v>
      </c>
      <c r="C4" s="2">
        <v>5</v>
      </c>
      <c r="D4" s="4">
        <f>INDEX(ticket!$B:$B, MATCH(A4, ticket!$E:$E, 0))</f>
        <v>44427.698414351849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B4034-D318-40D3-882A-D52631581AF4}">
  <dimension ref="A1:C7"/>
  <sheetViews>
    <sheetView tabSelected="1" workbookViewId="0">
      <selection activeCell="D22" sqref="D22"/>
    </sheetView>
  </sheetViews>
  <sheetFormatPr defaultRowHeight="14.4" x14ac:dyDescent="0.3"/>
  <cols>
    <col min="1" max="1" width="12.5546875" bestFit="1" customWidth="1"/>
    <col min="2" max="2" width="17.88671875" bestFit="1" customWidth="1"/>
    <col min="3" max="3" width="18.6640625" bestFit="1" customWidth="1"/>
    <col min="4" max="4" width="16.109375" bestFit="1" customWidth="1"/>
  </cols>
  <sheetData>
    <row r="1" spans="1:3" x14ac:dyDescent="0.3">
      <c r="A1" s="5" t="s">
        <v>21</v>
      </c>
      <c r="B1" t="s">
        <v>27</v>
      </c>
    </row>
    <row r="2" spans="1:3" x14ac:dyDescent="0.3">
      <c r="A2" s="5" t="s">
        <v>22</v>
      </c>
      <c r="B2" t="s">
        <v>27</v>
      </c>
    </row>
    <row r="4" spans="1:3" x14ac:dyDescent="0.3">
      <c r="A4" s="5" t="s">
        <v>23</v>
      </c>
      <c r="B4" t="s">
        <v>25</v>
      </c>
      <c r="C4" t="s">
        <v>26</v>
      </c>
    </row>
    <row r="5" spans="1:3" x14ac:dyDescent="0.3">
      <c r="A5" s="6" t="s">
        <v>6</v>
      </c>
      <c r="B5">
        <v>1</v>
      </c>
      <c r="C5">
        <v>1</v>
      </c>
    </row>
    <row r="6" spans="1:3" x14ac:dyDescent="0.3">
      <c r="A6" s="6" t="s">
        <v>11</v>
      </c>
      <c r="B6">
        <v>1</v>
      </c>
      <c r="C6">
        <v>1</v>
      </c>
    </row>
    <row r="7" spans="1:3" x14ac:dyDescent="0.3">
      <c r="A7" s="6" t="s">
        <v>24</v>
      </c>
      <c r="B7">
        <v>2</v>
      </c>
      <c r="C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</vt:lpstr>
      <vt:lpstr>feedbacks</vt:lpstr>
      <vt:lpstr>PivotTable for count per outlet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Purna sai Badminton</dc:creator>
  <cp:lastModifiedBy>Purna sai Badminton</cp:lastModifiedBy>
  <dcterms:created xsi:type="dcterms:W3CDTF">2026-04-08T18:41:36Z</dcterms:created>
  <dcterms:modified xsi:type="dcterms:W3CDTF">2026-04-09T04:34:42Z</dcterms:modified>
</cp:coreProperties>
</file>